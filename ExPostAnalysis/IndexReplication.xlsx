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GitHub\TrendSystem\ExPostAnalysis\"/>
    </mc:Choice>
  </mc:AlternateContent>
  <xr:revisionPtr revIDLastSave="0" documentId="13_ncr:1_{91FD27B8-C15B-4F32-BBA0-A92572A33E34}" xr6:coauthVersionLast="47" xr6:coauthVersionMax="47" xr10:uidLastSave="{00000000-0000-0000-0000-000000000000}"/>
  <bookViews>
    <workbookView xWindow="28680" yWindow="-120" windowWidth="29040" windowHeight="15840" xr2:uid="{D76B07F4-C9A4-4080-BA10-C7826DE2B57A}"/>
  </bookViews>
  <sheets>
    <sheet name="TrendIndices" sheetId="3" r:id="rId1"/>
    <sheet name="IndexReplication" sheetId="1" r:id="rId2"/>
  </sheets>
  <definedNames>
    <definedName name="_xlnm._FilterDatabase" localSheetId="1" hidden="1">IndexReplication!$A$20:$A$26</definedName>
    <definedName name="_xlnm._FilterDatabase" localSheetId="0" hidden="1">TrendIndices!$A$1:$F$23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5" i="1" l="1"/>
  <c r="B84" i="1"/>
  <c r="B83" i="1"/>
  <c r="B82" i="1"/>
  <c r="B81" i="1"/>
  <c r="B80" i="1"/>
  <c r="B79" i="1"/>
  <c r="B78" i="1"/>
  <c r="B76" i="1"/>
  <c r="B74" i="1"/>
  <c r="B73" i="1"/>
  <c r="B72" i="1"/>
  <c r="B71" i="1"/>
  <c r="B70" i="1"/>
  <c r="B69" i="1"/>
  <c r="B68" i="1"/>
  <c r="B67" i="1"/>
</calcChain>
</file>

<file path=xl/sharedStrings.xml><?xml version="1.0" encoding="utf-8"?>
<sst xmlns="http://schemas.openxmlformats.org/spreadsheetml/2006/main" count="461" uniqueCount="236">
  <si>
    <t>name</t>
  </si>
  <si>
    <t>ticker</t>
  </si>
  <si>
    <t>asset_class</t>
  </si>
  <si>
    <t>group</t>
  </si>
  <si>
    <t>S&amp;P</t>
  </si>
  <si>
    <t>equity</t>
  </si>
  <si>
    <t>TLDao</t>
  </si>
  <si>
    <t>Eurostoxx</t>
  </si>
  <si>
    <t>FTSE</t>
  </si>
  <si>
    <t>Nikkei</t>
  </si>
  <si>
    <t>VG1 Index</t>
  </si>
  <si>
    <t>NK1 Index</t>
  </si>
  <si>
    <t>Z 1 Index</t>
  </si>
  <si>
    <t>ES1 Index</t>
  </si>
  <si>
    <t>Crude</t>
  </si>
  <si>
    <t>Gold</t>
  </si>
  <si>
    <t>Copper</t>
  </si>
  <si>
    <t>Soybean</t>
  </si>
  <si>
    <t>CL1 Comdty</t>
  </si>
  <si>
    <t>GC1 Comdty</t>
  </si>
  <si>
    <t>HG1 Comdty</t>
  </si>
  <si>
    <t>S 1 Comdty</t>
  </si>
  <si>
    <t>commod</t>
  </si>
  <si>
    <t>EUR</t>
  </si>
  <si>
    <t>JPY</t>
  </si>
  <si>
    <t>GBP</t>
  </si>
  <si>
    <t>AUD</t>
  </si>
  <si>
    <t>CHF</t>
  </si>
  <si>
    <t>EC1 Curncy</t>
  </si>
  <si>
    <t>JY1 Curncy</t>
  </si>
  <si>
    <t>BP1 Curncy</t>
  </si>
  <si>
    <t>AD1 Curncy</t>
  </si>
  <si>
    <t>SF1 Curncy</t>
  </si>
  <si>
    <t>fx</t>
  </si>
  <si>
    <t>TY1 Comdty</t>
  </si>
  <si>
    <t>RX1 Comdty</t>
  </si>
  <si>
    <t>G 1 Comdty</t>
  </si>
  <si>
    <t>JB1 Comdty</t>
  </si>
  <si>
    <t>Treasury Note</t>
  </si>
  <si>
    <t>Bund</t>
  </si>
  <si>
    <t>Gilt</t>
  </si>
  <si>
    <t>JGB</t>
  </si>
  <si>
    <t>fixed_income</t>
  </si>
  <si>
    <t>ER1 Comdty</t>
  </si>
  <si>
    <t>SFR1 Comdty</t>
  </si>
  <si>
    <t>SFI1 Comdty</t>
  </si>
  <si>
    <t>Euribor</t>
  </si>
  <si>
    <t>SONIA</t>
  </si>
  <si>
    <t>SOFR</t>
  </si>
  <si>
    <t>stir</t>
  </si>
  <si>
    <t>XP1 Index</t>
  </si>
  <si>
    <t>PT1 Index</t>
  </si>
  <si>
    <t>GX1 Index</t>
  </si>
  <si>
    <t>IB1 Index</t>
  </si>
  <si>
    <t>CF1 Index</t>
  </si>
  <si>
    <t>TP1 Index</t>
  </si>
  <si>
    <t>QC1 Index</t>
  </si>
  <si>
    <t>DAX</t>
  </si>
  <si>
    <t>Hang Seng</t>
  </si>
  <si>
    <t>TSX</t>
  </si>
  <si>
    <t>Ticker</t>
  </si>
  <si>
    <t>Name</t>
  </si>
  <si>
    <t>Asset Class</t>
  </si>
  <si>
    <t>Currency</t>
  </si>
  <si>
    <t>BNPICTX4 Index</t>
  </si>
  <si>
    <t>BNP Paribas Cross Asset Trend vol 4 Index</t>
  </si>
  <si>
    <t>Multi Asset</t>
  </si>
  <si>
    <t>USD</t>
  </si>
  <si>
    <t>UISUCA2E Index</t>
  </si>
  <si>
    <t>UBS Cross Asset Trend 10% Vol ER Index EUR</t>
  </si>
  <si>
    <t>DBTIDEUE Index</t>
  </si>
  <si>
    <t>DB Trend Intraday Equity Index EUR</t>
  </si>
  <si>
    <t>Equity</t>
  </si>
  <si>
    <t>MLSREIT5 Index</t>
  </si>
  <si>
    <t>BofA Credit Europe IG CDS Trend Index</t>
  </si>
  <si>
    <t>CDS</t>
  </si>
  <si>
    <t>SGIXTFCY Index</t>
  </si>
  <si>
    <t>SGI Commodity Trend Following Index</t>
  </si>
  <si>
    <t>Commodity</t>
  </si>
  <si>
    <t>NEIXCTAT Index</t>
  </si>
  <si>
    <t>SG Trend Index</t>
  </si>
  <si>
    <t>BNPICT10 Index</t>
  </si>
  <si>
    <t>BNP Paribas Cross Asset Trend vol 10% Index</t>
  </si>
  <si>
    <t>SGIXTFXA Index</t>
  </si>
  <si>
    <t>SGI Cross Asset Trend Following Index</t>
  </si>
  <si>
    <t>BSLFXT Index</t>
  </si>
  <si>
    <t>Bloomberg FX Trend Index</t>
  </si>
  <si>
    <t>FX</t>
  </si>
  <si>
    <t>BSLEQT Index</t>
  </si>
  <si>
    <t>Bloomberg Equity Trend Index</t>
  </si>
  <si>
    <t>BSLBFT Index</t>
  </si>
  <si>
    <t>Bloomberg Bond Futures Trend Index</t>
  </si>
  <si>
    <t>Fixed Income</t>
  </si>
  <si>
    <t>BSLXAT Index</t>
  </si>
  <si>
    <t>Bloomberg Cross Asset Trend Index</t>
  </si>
  <si>
    <t>BSLCMT Index</t>
  </si>
  <si>
    <t>Bloomberg Commodity Trend Index</t>
  </si>
  <si>
    <t>DBCAUCTT Index</t>
  </si>
  <si>
    <t>DB Cross Asset CTA Trend Ex-Commodities 1 Index</t>
  </si>
  <si>
    <t>ex-Commodity</t>
  </si>
  <si>
    <t>DBCAUCTA Index</t>
  </si>
  <si>
    <t>DB Cross Asset CTA Trend Index</t>
  </si>
  <si>
    <t>BNPITACJ Index</t>
  </si>
  <si>
    <t>BNP Paribas Multi Asset Trend Asset Class JPY Index</t>
  </si>
  <si>
    <t>UISUCA2U Index</t>
  </si>
  <si>
    <t>UBS Cross Asset Trend 10% Vol ER Index USD</t>
  </si>
  <si>
    <t>UISUCATE Index</t>
  </si>
  <si>
    <t>UBS Cross Asset Trend ER Index</t>
  </si>
  <si>
    <t>DBTIDEUU Index</t>
  </si>
  <si>
    <t>DB Trend Intraday Equity Index</t>
  </si>
  <si>
    <t>MLSRUIT5 Index</t>
  </si>
  <si>
    <t>BofA Credit North America IG CDS Trend Index</t>
  </si>
  <si>
    <t>DBVTILUU Index</t>
  </si>
  <si>
    <t>DB Volatility Trend Intraday Long Only Index</t>
  </si>
  <si>
    <t>Volatility</t>
  </si>
  <si>
    <t>NEIXCTA Index</t>
  </si>
  <si>
    <t>SG CTA Index</t>
  </si>
  <si>
    <t>EO1 Index</t>
  </si>
  <si>
    <t>TOPIX</t>
  </si>
  <si>
    <t>SPI 200</t>
  </si>
  <si>
    <t>CAC 40</t>
  </si>
  <si>
    <t>IBEX 35</t>
  </si>
  <si>
    <t>FTSE 100</t>
  </si>
  <si>
    <t>MIB</t>
  </si>
  <si>
    <t>Amsterdam IDX</t>
  </si>
  <si>
    <t>OMX 30</t>
  </si>
  <si>
    <t>Singapore</t>
  </si>
  <si>
    <t>HI1 Index</t>
  </si>
  <si>
    <t>ST1 Index</t>
  </si>
  <si>
    <t>QZ1 Index</t>
  </si>
  <si>
    <t>Yang</t>
  </si>
  <si>
    <t>Soybean Oil</t>
  </si>
  <si>
    <t>Corn</t>
  </si>
  <si>
    <t>Soybean Meal</t>
  </si>
  <si>
    <t>Wheat</t>
  </si>
  <si>
    <t>Cocoa</t>
  </si>
  <si>
    <t>Coton</t>
  </si>
  <si>
    <t>Coffee</t>
  </si>
  <si>
    <t>Sugar</t>
  </si>
  <si>
    <t>Lean Hogs</t>
  </si>
  <si>
    <t>Live Cattle</t>
  </si>
  <si>
    <t>Brent Crude</t>
  </si>
  <si>
    <t>WTI Crude</t>
  </si>
  <si>
    <t>Heating Oil</t>
  </si>
  <si>
    <t>Gas Oil</t>
  </si>
  <si>
    <t>Natural Gas</t>
  </si>
  <si>
    <t>Gasoline</t>
  </si>
  <si>
    <t>Alumminum</t>
  </si>
  <si>
    <t>Nickel</t>
  </si>
  <si>
    <t>Zinc</t>
  </si>
  <si>
    <t>Silver</t>
  </si>
  <si>
    <t>QC1 Comdty</t>
  </si>
  <si>
    <t>NG1 Comdty</t>
  </si>
  <si>
    <t>XB1 Comdty</t>
  </si>
  <si>
    <t>SI1 Comdty</t>
  </si>
  <si>
    <t>LX1 Comdty</t>
  </si>
  <si>
    <t>LN1 Comdty</t>
  </si>
  <si>
    <t>LA1 Comdty</t>
  </si>
  <si>
    <t>CO1 Comdty</t>
  </si>
  <si>
    <t>HO1 Comdty</t>
  </si>
  <si>
    <t>BO1 Comdty</t>
  </si>
  <si>
    <t>SM1 Comdty</t>
  </si>
  <si>
    <t>W1 Comdty</t>
  </si>
  <si>
    <t>CC1 Comdty</t>
  </si>
  <si>
    <t>CT1 Comdty</t>
  </si>
  <si>
    <t>KC1 Comdty</t>
  </si>
  <si>
    <t>SB1 Comdty</t>
  </si>
  <si>
    <t>LH1 Comdty</t>
  </si>
  <si>
    <t>LC1 Comdty</t>
  </si>
  <si>
    <t>C 1 Comdty</t>
  </si>
  <si>
    <t>US 5-Year</t>
  </si>
  <si>
    <t>US 10-Year</t>
  </si>
  <si>
    <t>US 30-Year</t>
  </si>
  <si>
    <t>US 2-Year</t>
  </si>
  <si>
    <t>German 2-Year</t>
  </si>
  <si>
    <t>German 5-Year</t>
  </si>
  <si>
    <t>German 10-Year</t>
  </si>
  <si>
    <t>German 30-Year</t>
  </si>
  <si>
    <t>Australian 10-Year</t>
  </si>
  <si>
    <t>Canadian 10-Year</t>
  </si>
  <si>
    <t>UK 10-Year</t>
  </si>
  <si>
    <t>UB1 Comdty</t>
  </si>
  <si>
    <t>YM1 Comdty</t>
  </si>
  <si>
    <t>CN1 Comdty</t>
  </si>
  <si>
    <t>WN1 Comdty</t>
  </si>
  <si>
    <t>DU1 Comdty</t>
  </si>
  <si>
    <t>OE1 Comdty</t>
  </si>
  <si>
    <t>TU1 Comdty</t>
  </si>
  <si>
    <t>FV1 Comdty</t>
  </si>
  <si>
    <t>CAD</t>
  </si>
  <si>
    <t>NOK</t>
  </si>
  <si>
    <t>NZD</t>
  </si>
  <si>
    <t>SEK</t>
  </si>
  <si>
    <t>BRL</t>
  </si>
  <si>
    <t>CLP</t>
  </si>
  <si>
    <t>CZK</t>
  </si>
  <si>
    <t>HUF</t>
  </si>
  <si>
    <t>KRW</t>
  </si>
  <si>
    <t>MXN</t>
  </si>
  <si>
    <t>PLN</t>
  </si>
  <si>
    <t>RUB</t>
  </si>
  <si>
    <t>TRY</t>
  </si>
  <si>
    <t>ZAR</t>
  </si>
  <si>
    <t>NaN</t>
  </si>
  <si>
    <t>PlotName</t>
  </si>
  <si>
    <t>Bloomberg Bond</t>
  </si>
  <si>
    <t>Bloomberg Commod</t>
  </si>
  <si>
    <t>Bloomberg Equity</t>
  </si>
  <si>
    <t>Bloomberg Cross Asset</t>
  </si>
  <si>
    <t>Bloomberg FX</t>
  </si>
  <si>
    <t>BNP Cross Asset 1</t>
  </si>
  <si>
    <t>BNP Cross Asset 2</t>
  </si>
  <si>
    <t>BNP Multi Asset (JPY)</t>
  </si>
  <si>
    <t>BofA IG Europe CDS</t>
  </si>
  <si>
    <t>BofA NA IG CDS</t>
  </si>
  <si>
    <t>DB Cross Asset Ex-Commod</t>
  </si>
  <si>
    <t>DB Cross Asset</t>
  </si>
  <si>
    <t>DB Intraday Equity</t>
  </si>
  <si>
    <t>DB Intraday Equity (EUR)</t>
  </si>
  <si>
    <t xml:space="preserve">DB Intraday Volatility </t>
  </si>
  <si>
    <t>UBS Cross Asset</t>
  </si>
  <si>
    <t>SG CTA</t>
  </si>
  <si>
    <t>SG Trend</t>
  </si>
  <si>
    <t>SG Commodity</t>
  </si>
  <si>
    <t>SG Cross Asset</t>
  </si>
  <si>
    <t>UBS Cross Asset (EUR)</t>
  </si>
  <si>
    <t>UBS Cross Asset (ER)</t>
  </si>
  <si>
    <t>selector</t>
  </si>
  <si>
    <t>['cds']</t>
  </si>
  <si>
    <t>['commod']</t>
  </si>
  <si>
    <t>['equity']</t>
  </si>
  <si>
    <t>['equity', 'fixed_income', 'fx', 'stir']</t>
  </si>
  <si>
    <t>['fixed_income', 'stir']</t>
  </si>
  <si>
    <t>['fx']</t>
  </si>
  <si>
    <t>['commod', 'equity', 'fixed_income', 'fx', 'stir']</t>
  </si>
  <si>
    <t>['volatility']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</si>
</sst>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828B-512A-48DB-95CF-F717582A17B9}">
  <dimension ref="A1:F23"/>
  <sheetViews>
    <sheetView tabSelected="1" workbookViewId="0">
      <selection activeCell="F2" sqref="F2:F3"/>
    </sheetView>
  </sheetViews>
  <sheetFormatPr defaultRowHeight="15" x14ac:dyDescent="0.25"/>
  <cols>
    <col min="1" max="1" width="15.5703125" bestFit="1" customWidth="1"/>
    <col min="2" max="2" width="47.5703125" bestFit="1" customWidth="1"/>
    <col min="3" max="3" width="13.7109375" bestFit="1" customWidth="1"/>
    <col min="5" max="5" width="25.5703125" bestFit="1" customWidth="1"/>
  </cols>
  <sheetData>
    <row r="1" spans="1:6" x14ac:dyDescent="0.25">
      <c r="A1" t="s">
        <v>60</v>
      </c>
      <c r="B1" t="s">
        <v>61</v>
      </c>
      <c r="C1" t="s">
        <v>62</v>
      </c>
      <c r="D1" t="s">
        <v>63</v>
      </c>
      <c r="E1" t="s">
        <v>204</v>
      </c>
      <c r="F1" t="s">
        <v>227</v>
      </c>
    </row>
    <row r="2" spans="1:6" x14ac:dyDescent="0.25">
      <c r="A2" t="s">
        <v>73</v>
      </c>
      <c r="B2" t="s">
        <v>74</v>
      </c>
      <c r="C2" t="s">
        <v>75</v>
      </c>
      <c r="D2" t="s">
        <v>23</v>
      </c>
      <c r="E2" t="s">
        <v>213</v>
      </c>
      <c r="F2" t="s">
        <v>228</v>
      </c>
    </row>
    <row r="3" spans="1:6" x14ac:dyDescent="0.25">
      <c r="A3" t="s">
        <v>110</v>
      </c>
      <c r="B3" t="s">
        <v>111</v>
      </c>
      <c r="C3" t="s">
        <v>75</v>
      </c>
      <c r="D3" t="s">
        <v>67</v>
      </c>
      <c r="E3" t="s">
        <v>214</v>
      </c>
      <c r="F3" t="s">
        <v>228</v>
      </c>
    </row>
    <row r="4" spans="1:6" x14ac:dyDescent="0.25">
      <c r="A4" t="s">
        <v>95</v>
      </c>
      <c r="B4" t="s">
        <v>96</v>
      </c>
      <c r="C4" t="s">
        <v>78</v>
      </c>
      <c r="D4" t="s">
        <v>67</v>
      </c>
      <c r="E4" t="s">
        <v>206</v>
      </c>
      <c r="F4" t="s">
        <v>229</v>
      </c>
    </row>
    <row r="5" spans="1:6" x14ac:dyDescent="0.25">
      <c r="A5" t="s">
        <v>76</v>
      </c>
      <c r="B5" t="s">
        <v>77</v>
      </c>
      <c r="C5" t="s">
        <v>78</v>
      </c>
      <c r="D5" t="s">
        <v>67</v>
      </c>
      <c r="E5" t="s">
        <v>223</v>
      </c>
      <c r="F5" t="s">
        <v>229</v>
      </c>
    </row>
    <row r="6" spans="1:6" x14ac:dyDescent="0.25">
      <c r="A6" t="s">
        <v>88</v>
      </c>
      <c r="B6" t="s">
        <v>89</v>
      </c>
      <c r="C6" t="s">
        <v>72</v>
      </c>
      <c r="D6" t="s">
        <v>67</v>
      </c>
      <c r="E6" t="s">
        <v>207</v>
      </c>
      <c r="F6" t="s">
        <v>230</v>
      </c>
    </row>
    <row r="7" spans="1:6" x14ac:dyDescent="0.25">
      <c r="A7" t="s">
        <v>108</v>
      </c>
      <c r="B7" t="s">
        <v>109</v>
      </c>
      <c r="C7" t="s">
        <v>72</v>
      </c>
      <c r="D7" t="s">
        <v>67</v>
      </c>
      <c r="E7" t="s">
        <v>217</v>
      </c>
      <c r="F7" t="s">
        <v>230</v>
      </c>
    </row>
    <row r="8" spans="1:6" x14ac:dyDescent="0.25">
      <c r="A8" t="s">
        <v>70</v>
      </c>
      <c r="B8" t="s">
        <v>71</v>
      </c>
      <c r="C8" t="s">
        <v>72</v>
      </c>
      <c r="D8" t="s">
        <v>23</v>
      </c>
      <c r="E8" t="s">
        <v>218</v>
      </c>
      <c r="F8" t="s">
        <v>230</v>
      </c>
    </row>
    <row r="9" spans="1:6" x14ac:dyDescent="0.25">
      <c r="A9" t="s">
        <v>97</v>
      </c>
      <c r="B9" t="s">
        <v>98</v>
      </c>
      <c r="C9" t="s">
        <v>99</v>
      </c>
      <c r="D9" t="s">
        <v>67</v>
      </c>
      <c r="E9" t="s">
        <v>215</v>
      </c>
      <c r="F9" t="s">
        <v>231</v>
      </c>
    </row>
    <row r="10" spans="1:6" x14ac:dyDescent="0.25">
      <c r="A10" t="s">
        <v>90</v>
      </c>
      <c r="B10" t="s">
        <v>91</v>
      </c>
      <c r="C10" t="s">
        <v>92</v>
      </c>
      <c r="D10" t="s">
        <v>67</v>
      </c>
      <c r="E10" t="s">
        <v>205</v>
      </c>
      <c r="F10" t="s">
        <v>232</v>
      </c>
    </row>
    <row r="11" spans="1:6" x14ac:dyDescent="0.25">
      <c r="A11" t="s">
        <v>85</v>
      </c>
      <c r="B11" t="s">
        <v>86</v>
      </c>
      <c r="C11" t="s">
        <v>87</v>
      </c>
      <c r="D11" t="s">
        <v>67</v>
      </c>
      <c r="E11" t="s">
        <v>209</v>
      </c>
      <c r="F11" t="s">
        <v>233</v>
      </c>
    </row>
    <row r="12" spans="1:6" x14ac:dyDescent="0.25">
      <c r="A12" t="s">
        <v>93</v>
      </c>
      <c r="B12" t="s">
        <v>94</v>
      </c>
      <c r="C12" t="s">
        <v>66</v>
      </c>
      <c r="D12" t="s">
        <v>67</v>
      </c>
      <c r="E12" t="s">
        <v>208</v>
      </c>
      <c r="F12" t="s">
        <v>234</v>
      </c>
    </row>
    <row r="13" spans="1:6" x14ac:dyDescent="0.25">
      <c r="A13" t="s">
        <v>81</v>
      </c>
      <c r="B13" t="s">
        <v>82</v>
      </c>
      <c r="C13" t="s">
        <v>66</v>
      </c>
      <c r="D13" t="s">
        <v>67</v>
      </c>
      <c r="E13" t="s">
        <v>210</v>
      </c>
      <c r="F13" t="s">
        <v>234</v>
      </c>
    </row>
    <row r="14" spans="1:6" x14ac:dyDescent="0.25">
      <c r="A14" t="s">
        <v>64</v>
      </c>
      <c r="B14" t="s">
        <v>65</v>
      </c>
      <c r="C14" t="s">
        <v>66</v>
      </c>
      <c r="D14" t="s">
        <v>67</v>
      </c>
      <c r="E14" t="s">
        <v>211</v>
      </c>
      <c r="F14" t="s">
        <v>234</v>
      </c>
    </row>
    <row r="15" spans="1:6" x14ac:dyDescent="0.25">
      <c r="A15" t="s">
        <v>102</v>
      </c>
      <c r="B15" t="s">
        <v>103</v>
      </c>
      <c r="C15" t="s">
        <v>66</v>
      </c>
      <c r="D15" t="s">
        <v>24</v>
      </c>
      <c r="E15" t="s">
        <v>212</v>
      </c>
      <c r="F15" t="s">
        <v>234</v>
      </c>
    </row>
    <row r="16" spans="1:6" x14ac:dyDescent="0.25">
      <c r="A16" t="s">
        <v>100</v>
      </c>
      <c r="B16" t="s">
        <v>101</v>
      </c>
      <c r="C16" t="s">
        <v>66</v>
      </c>
      <c r="D16" t="s">
        <v>67</v>
      </c>
      <c r="E16" t="s">
        <v>216</v>
      </c>
      <c r="F16" t="s">
        <v>234</v>
      </c>
    </row>
    <row r="17" spans="1:6" x14ac:dyDescent="0.25">
      <c r="A17" t="s">
        <v>115</v>
      </c>
      <c r="B17" t="s">
        <v>116</v>
      </c>
      <c r="C17" t="s">
        <v>66</v>
      </c>
      <c r="D17" t="s">
        <v>67</v>
      </c>
      <c r="E17" t="s">
        <v>221</v>
      </c>
      <c r="F17" t="s">
        <v>234</v>
      </c>
    </row>
    <row r="18" spans="1:6" x14ac:dyDescent="0.25">
      <c r="A18" t="s">
        <v>79</v>
      </c>
      <c r="B18" t="s">
        <v>80</v>
      </c>
      <c r="C18" t="s">
        <v>66</v>
      </c>
      <c r="D18" t="s">
        <v>67</v>
      </c>
      <c r="E18" t="s">
        <v>222</v>
      </c>
      <c r="F18" t="s">
        <v>234</v>
      </c>
    </row>
    <row r="19" spans="1:6" x14ac:dyDescent="0.25">
      <c r="A19" t="s">
        <v>83</v>
      </c>
      <c r="B19" t="s">
        <v>84</v>
      </c>
      <c r="C19" t="s">
        <v>66</v>
      </c>
      <c r="D19" t="s">
        <v>67</v>
      </c>
      <c r="E19" t="s">
        <v>224</v>
      </c>
      <c r="F19" t="s">
        <v>234</v>
      </c>
    </row>
    <row r="20" spans="1:6" x14ac:dyDescent="0.25">
      <c r="A20" t="s">
        <v>68</v>
      </c>
      <c r="B20" t="s">
        <v>69</v>
      </c>
      <c r="C20" t="s">
        <v>66</v>
      </c>
      <c r="D20" t="s">
        <v>23</v>
      </c>
      <c r="E20" t="s">
        <v>225</v>
      </c>
      <c r="F20" t="s">
        <v>234</v>
      </c>
    </row>
    <row r="21" spans="1:6" x14ac:dyDescent="0.25">
      <c r="A21" t="s">
        <v>104</v>
      </c>
      <c r="B21" t="s">
        <v>105</v>
      </c>
      <c r="C21" t="s">
        <v>66</v>
      </c>
      <c r="D21" t="s">
        <v>67</v>
      </c>
      <c r="E21" t="s">
        <v>220</v>
      </c>
      <c r="F21" t="s">
        <v>234</v>
      </c>
    </row>
    <row r="22" spans="1:6" x14ac:dyDescent="0.25">
      <c r="A22" t="s">
        <v>106</v>
      </c>
      <c r="B22" t="s">
        <v>107</v>
      </c>
      <c r="C22" t="s">
        <v>66</v>
      </c>
      <c r="D22" t="s">
        <v>67</v>
      </c>
      <c r="E22" t="s">
        <v>226</v>
      </c>
      <c r="F22" t="s">
        <v>234</v>
      </c>
    </row>
    <row r="23" spans="1:6" x14ac:dyDescent="0.25">
      <c r="A23" t="s">
        <v>112</v>
      </c>
      <c r="B23" t="s">
        <v>113</v>
      </c>
      <c r="C23" t="s">
        <v>114</v>
      </c>
      <c r="D23" t="s">
        <v>67</v>
      </c>
      <c r="E23" t="s">
        <v>219</v>
      </c>
      <c r="F23" t="s">
        <v>235</v>
      </c>
    </row>
  </sheetData>
  <autoFilter ref="A1:F23" xr:uid="{B9DC828B-512A-48DB-95CF-F717582A17B9}">
    <sortState xmlns:xlrd2="http://schemas.microsoft.com/office/spreadsheetml/2017/richdata2" ref="A2:F23">
      <sortCondition ref="C1:C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B15B-0DB6-4C41-A400-1F5B8F28ACED}">
  <dimension ref="A1:D85"/>
  <sheetViews>
    <sheetView topLeftCell="A50" workbookViewId="0">
      <selection activeCell="C2" sqref="C2:C85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13</v>
      </c>
      <c r="C2" t="s">
        <v>5</v>
      </c>
      <c r="D2" t="s">
        <v>6</v>
      </c>
    </row>
    <row r="3" spans="1:4" x14ac:dyDescent="0.25">
      <c r="A3" t="s">
        <v>7</v>
      </c>
      <c r="B3" t="s">
        <v>10</v>
      </c>
      <c r="C3" t="s">
        <v>5</v>
      </c>
      <c r="D3" t="s">
        <v>6</v>
      </c>
    </row>
    <row r="4" spans="1:4" x14ac:dyDescent="0.25">
      <c r="A4" t="s">
        <v>8</v>
      </c>
      <c r="B4" t="s">
        <v>12</v>
      </c>
      <c r="C4" t="s">
        <v>5</v>
      </c>
      <c r="D4" t="s">
        <v>6</v>
      </c>
    </row>
    <row r="5" spans="1:4" x14ac:dyDescent="0.25">
      <c r="A5" t="s">
        <v>9</v>
      </c>
      <c r="B5" t="s">
        <v>11</v>
      </c>
      <c r="C5" t="s">
        <v>5</v>
      </c>
      <c r="D5" t="s">
        <v>6</v>
      </c>
    </row>
    <row r="6" spans="1:4" x14ac:dyDescent="0.25">
      <c r="A6" t="s">
        <v>14</v>
      </c>
      <c r="B6" t="s">
        <v>18</v>
      </c>
      <c r="C6" t="s">
        <v>22</v>
      </c>
      <c r="D6" t="s">
        <v>6</v>
      </c>
    </row>
    <row r="7" spans="1:4" x14ac:dyDescent="0.25">
      <c r="A7" t="s">
        <v>15</v>
      </c>
      <c r="B7" t="s">
        <v>19</v>
      </c>
      <c r="C7" t="s">
        <v>22</v>
      </c>
      <c r="D7" t="s">
        <v>6</v>
      </c>
    </row>
    <row r="8" spans="1:4" x14ac:dyDescent="0.25">
      <c r="A8" t="s">
        <v>16</v>
      </c>
      <c r="B8" t="s">
        <v>20</v>
      </c>
      <c r="C8" t="s">
        <v>22</v>
      </c>
      <c r="D8" t="s">
        <v>6</v>
      </c>
    </row>
    <row r="9" spans="1:4" x14ac:dyDescent="0.25">
      <c r="A9" t="s">
        <v>17</v>
      </c>
      <c r="B9" t="s">
        <v>21</v>
      </c>
      <c r="C9" t="s">
        <v>22</v>
      </c>
      <c r="D9" t="s">
        <v>6</v>
      </c>
    </row>
    <row r="10" spans="1:4" x14ac:dyDescent="0.25">
      <c r="A10" t="s">
        <v>23</v>
      </c>
      <c r="B10" t="s">
        <v>28</v>
      </c>
      <c r="C10" t="s">
        <v>33</v>
      </c>
      <c r="D10" t="s">
        <v>6</v>
      </c>
    </row>
    <row r="11" spans="1:4" x14ac:dyDescent="0.25">
      <c r="A11" t="s">
        <v>24</v>
      </c>
      <c r="B11" t="s">
        <v>29</v>
      </c>
      <c r="C11" t="s">
        <v>33</v>
      </c>
      <c r="D11" t="s">
        <v>6</v>
      </c>
    </row>
    <row r="12" spans="1:4" x14ac:dyDescent="0.25">
      <c r="A12" t="s">
        <v>25</v>
      </c>
      <c r="B12" t="s">
        <v>30</v>
      </c>
      <c r="C12" t="s">
        <v>33</v>
      </c>
      <c r="D12" t="s">
        <v>6</v>
      </c>
    </row>
    <row r="13" spans="1:4" x14ac:dyDescent="0.25">
      <c r="A13" t="s">
        <v>26</v>
      </c>
      <c r="B13" t="s">
        <v>31</v>
      </c>
      <c r="C13" t="s">
        <v>33</v>
      </c>
      <c r="D13" t="s">
        <v>6</v>
      </c>
    </row>
    <row r="14" spans="1:4" x14ac:dyDescent="0.25">
      <c r="A14" t="s">
        <v>27</v>
      </c>
      <c r="B14" t="s">
        <v>32</v>
      </c>
      <c r="C14" t="s">
        <v>33</v>
      </c>
      <c r="D14" t="s">
        <v>6</v>
      </c>
    </row>
    <row r="15" spans="1:4" x14ac:dyDescent="0.25">
      <c r="A15" t="s">
        <v>38</v>
      </c>
      <c r="B15" t="s">
        <v>34</v>
      </c>
      <c r="C15" t="s">
        <v>42</v>
      </c>
      <c r="D15" t="s">
        <v>6</v>
      </c>
    </row>
    <row r="16" spans="1:4" x14ac:dyDescent="0.25">
      <c r="A16" t="s">
        <v>39</v>
      </c>
      <c r="B16" t="s">
        <v>35</v>
      </c>
      <c r="C16" t="s">
        <v>42</v>
      </c>
      <c r="D16" t="s">
        <v>6</v>
      </c>
    </row>
    <row r="17" spans="1:4" x14ac:dyDescent="0.25">
      <c r="A17" t="s">
        <v>40</v>
      </c>
      <c r="B17" t="s">
        <v>36</v>
      </c>
      <c r="C17" t="s">
        <v>42</v>
      </c>
      <c r="D17" t="s">
        <v>6</v>
      </c>
    </row>
    <row r="18" spans="1:4" x14ac:dyDescent="0.25">
      <c r="A18" t="s">
        <v>41</v>
      </c>
      <c r="B18" t="s">
        <v>37</v>
      </c>
      <c r="C18" t="s">
        <v>42</v>
      </c>
      <c r="D18" t="s">
        <v>6</v>
      </c>
    </row>
    <row r="19" spans="1:4" x14ac:dyDescent="0.25">
      <c r="A19" t="s">
        <v>46</v>
      </c>
      <c r="B19" t="s">
        <v>43</v>
      </c>
      <c r="C19" t="s">
        <v>49</v>
      </c>
      <c r="D19" t="s">
        <v>6</v>
      </c>
    </row>
    <row r="20" spans="1:4" x14ac:dyDescent="0.25">
      <c r="A20" t="s">
        <v>47</v>
      </c>
      <c r="B20" t="s">
        <v>45</v>
      </c>
      <c r="C20" t="s">
        <v>49</v>
      </c>
      <c r="D20" t="s">
        <v>6</v>
      </c>
    </row>
    <row r="21" spans="1:4" x14ac:dyDescent="0.25">
      <c r="A21" t="s">
        <v>48</v>
      </c>
      <c r="B21" t="s">
        <v>44</v>
      </c>
      <c r="C21" t="s">
        <v>49</v>
      </c>
      <c r="D21" t="s">
        <v>6</v>
      </c>
    </row>
    <row r="22" spans="1:4" x14ac:dyDescent="0.25">
      <c r="A22" t="s">
        <v>119</v>
      </c>
      <c r="B22" t="s">
        <v>50</v>
      </c>
      <c r="C22" t="s">
        <v>5</v>
      </c>
      <c r="D22" t="s">
        <v>130</v>
      </c>
    </row>
    <row r="23" spans="1:4" x14ac:dyDescent="0.25">
      <c r="A23" t="s">
        <v>59</v>
      </c>
      <c r="B23" t="s">
        <v>51</v>
      </c>
      <c r="C23" t="s">
        <v>5</v>
      </c>
      <c r="D23" t="s">
        <v>130</v>
      </c>
    </row>
    <row r="24" spans="1:4" x14ac:dyDescent="0.25">
      <c r="A24" t="s">
        <v>57</v>
      </c>
      <c r="B24" t="s">
        <v>52</v>
      </c>
      <c r="C24" t="s">
        <v>5</v>
      </c>
      <c r="D24" t="s">
        <v>130</v>
      </c>
    </row>
    <row r="25" spans="1:4" x14ac:dyDescent="0.25">
      <c r="A25" t="s">
        <v>121</v>
      </c>
      <c r="B25" t="s">
        <v>53</v>
      </c>
      <c r="C25" t="s">
        <v>5</v>
      </c>
      <c r="D25" t="s">
        <v>130</v>
      </c>
    </row>
    <row r="26" spans="1:4" x14ac:dyDescent="0.25">
      <c r="A26" t="s">
        <v>120</v>
      </c>
      <c r="B26" t="s">
        <v>54</v>
      </c>
      <c r="C26" t="s">
        <v>5</v>
      </c>
      <c r="D26" t="s">
        <v>130</v>
      </c>
    </row>
    <row r="27" spans="1:4" x14ac:dyDescent="0.25">
      <c r="A27" t="s">
        <v>122</v>
      </c>
      <c r="B27" t="s">
        <v>12</v>
      </c>
      <c r="C27" t="s">
        <v>5</v>
      </c>
      <c r="D27" t="s">
        <v>130</v>
      </c>
    </row>
    <row r="28" spans="1:4" x14ac:dyDescent="0.25">
      <c r="A28" t="s">
        <v>58</v>
      </c>
      <c r="B28" t="s">
        <v>127</v>
      </c>
      <c r="C28" t="s">
        <v>5</v>
      </c>
      <c r="D28" t="s">
        <v>130</v>
      </c>
    </row>
    <row r="29" spans="1:4" x14ac:dyDescent="0.25">
      <c r="A29" s="1" t="s">
        <v>123</v>
      </c>
      <c r="B29" s="1" t="s">
        <v>128</v>
      </c>
      <c r="C29" t="s">
        <v>5</v>
      </c>
      <c r="D29" t="s">
        <v>130</v>
      </c>
    </row>
    <row r="30" spans="1:4" x14ac:dyDescent="0.25">
      <c r="A30" s="1" t="s">
        <v>118</v>
      </c>
      <c r="B30" s="1" t="s">
        <v>55</v>
      </c>
      <c r="C30" t="s">
        <v>5</v>
      </c>
      <c r="D30" t="s">
        <v>130</v>
      </c>
    </row>
    <row r="31" spans="1:4" x14ac:dyDescent="0.25">
      <c r="A31" s="1" t="s">
        <v>124</v>
      </c>
      <c r="B31" s="1" t="s">
        <v>117</v>
      </c>
      <c r="C31" t="s">
        <v>5</v>
      </c>
      <c r="D31" t="s">
        <v>130</v>
      </c>
    </row>
    <row r="32" spans="1:4" x14ac:dyDescent="0.25">
      <c r="A32" s="1" t="s">
        <v>125</v>
      </c>
      <c r="B32" s="1" t="s">
        <v>56</v>
      </c>
      <c r="C32" t="s">
        <v>5</v>
      </c>
      <c r="D32" t="s">
        <v>130</v>
      </c>
    </row>
    <row r="33" spans="1:4" x14ac:dyDescent="0.25">
      <c r="A33" s="1" t="s">
        <v>126</v>
      </c>
      <c r="B33" s="1" t="s">
        <v>129</v>
      </c>
      <c r="C33" t="s">
        <v>5</v>
      </c>
      <c r="D33" t="s">
        <v>130</v>
      </c>
    </row>
    <row r="34" spans="1:4" x14ac:dyDescent="0.25">
      <c r="A34" s="1" t="s">
        <v>131</v>
      </c>
      <c r="B34" t="s">
        <v>160</v>
      </c>
      <c r="C34" t="s">
        <v>22</v>
      </c>
      <c r="D34" t="s">
        <v>130</v>
      </c>
    </row>
    <row r="35" spans="1:4" x14ac:dyDescent="0.25">
      <c r="A35" s="1" t="s">
        <v>132</v>
      </c>
      <c r="B35" t="s">
        <v>169</v>
      </c>
      <c r="C35" t="s">
        <v>22</v>
      </c>
      <c r="D35" t="s">
        <v>130</v>
      </c>
    </row>
    <row r="36" spans="1:4" x14ac:dyDescent="0.25">
      <c r="A36" s="1" t="s">
        <v>133</v>
      </c>
      <c r="B36" t="s">
        <v>161</v>
      </c>
      <c r="C36" t="s">
        <v>22</v>
      </c>
      <c r="D36" t="s">
        <v>130</v>
      </c>
    </row>
    <row r="37" spans="1:4" x14ac:dyDescent="0.25">
      <c r="A37" s="1" t="s">
        <v>134</v>
      </c>
      <c r="B37" t="s">
        <v>162</v>
      </c>
      <c r="C37" t="s">
        <v>22</v>
      </c>
      <c r="D37" t="s">
        <v>130</v>
      </c>
    </row>
    <row r="38" spans="1:4" x14ac:dyDescent="0.25">
      <c r="A38" s="1" t="s">
        <v>135</v>
      </c>
      <c r="B38" t="s">
        <v>163</v>
      </c>
      <c r="C38" t="s">
        <v>22</v>
      </c>
      <c r="D38" t="s">
        <v>130</v>
      </c>
    </row>
    <row r="39" spans="1:4" x14ac:dyDescent="0.25">
      <c r="A39" s="1" t="s">
        <v>136</v>
      </c>
      <c r="B39" t="s">
        <v>164</v>
      </c>
      <c r="C39" t="s">
        <v>22</v>
      </c>
      <c r="D39" t="s">
        <v>130</v>
      </c>
    </row>
    <row r="40" spans="1:4" x14ac:dyDescent="0.25">
      <c r="A40" s="1" t="s">
        <v>137</v>
      </c>
      <c r="B40" t="s">
        <v>165</v>
      </c>
      <c r="C40" t="s">
        <v>22</v>
      </c>
      <c r="D40" t="s">
        <v>130</v>
      </c>
    </row>
    <row r="41" spans="1:4" x14ac:dyDescent="0.25">
      <c r="A41" s="1" t="s">
        <v>138</v>
      </c>
      <c r="B41" t="s">
        <v>166</v>
      </c>
      <c r="C41" t="s">
        <v>22</v>
      </c>
      <c r="D41" t="s">
        <v>130</v>
      </c>
    </row>
    <row r="42" spans="1:4" x14ac:dyDescent="0.25">
      <c r="A42" s="1" t="s">
        <v>139</v>
      </c>
      <c r="B42" t="s">
        <v>167</v>
      </c>
      <c r="C42" t="s">
        <v>22</v>
      </c>
      <c r="D42" t="s">
        <v>130</v>
      </c>
    </row>
    <row r="43" spans="1:4" x14ac:dyDescent="0.25">
      <c r="A43" s="1" t="s">
        <v>140</v>
      </c>
      <c r="B43" t="s">
        <v>168</v>
      </c>
      <c r="C43" t="s">
        <v>22</v>
      </c>
      <c r="D43" t="s">
        <v>130</v>
      </c>
    </row>
    <row r="44" spans="1:4" x14ac:dyDescent="0.25">
      <c r="A44" s="1" t="s">
        <v>141</v>
      </c>
      <c r="B44" s="1" t="s">
        <v>18</v>
      </c>
      <c r="C44" t="s">
        <v>22</v>
      </c>
      <c r="D44" t="s">
        <v>130</v>
      </c>
    </row>
    <row r="45" spans="1:4" x14ac:dyDescent="0.25">
      <c r="A45" s="1" t="s">
        <v>142</v>
      </c>
      <c r="B45" s="1" t="s">
        <v>158</v>
      </c>
      <c r="C45" t="s">
        <v>22</v>
      </c>
      <c r="D45" t="s">
        <v>130</v>
      </c>
    </row>
    <row r="46" spans="1:4" x14ac:dyDescent="0.25">
      <c r="A46" s="1" t="s">
        <v>143</v>
      </c>
      <c r="B46" s="1" t="s">
        <v>159</v>
      </c>
      <c r="C46" t="s">
        <v>22</v>
      </c>
      <c r="D46" t="s">
        <v>130</v>
      </c>
    </row>
    <row r="47" spans="1:4" x14ac:dyDescent="0.25">
      <c r="A47" s="1" t="s">
        <v>144</v>
      </c>
      <c r="B47" s="1" t="s">
        <v>151</v>
      </c>
      <c r="C47" t="s">
        <v>22</v>
      </c>
      <c r="D47" t="s">
        <v>130</v>
      </c>
    </row>
    <row r="48" spans="1:4" x14ac:dyDescent="0.25">
      <c r="A48" s="1" t="s">
        <v>145</v>
      </c>
      <c r="B48" s="1" t="s">
        <v>152</v>
      </c>
      <c r="C48" t="s">
        <v>22</v>
      </c>
      <c r="D48" t="s">
        <v>130</v>
      </c>
    </row>
    <row r="49" spans="1:4" x14ac:dyDescent="0.25">
      <c r="A49" s="1" t="s">
        <v>146</v>
      </c>
      <c r="B49" s="1" t="s">
        <v>153</v>
      </c>
      <c r="C49" t="s">
        <v>22</v>
      </c>
      <c r="D49" t="s">
        <v>130</v>
      </c>
    </row>
    <row r="50" spans="1:4" x14ac:dyDescent="0.25">
      <c r="A50" s="1" t="s">
        <v>16</v>
      </c>
      <c r="B50" s="1" t="s">
        <v>20</v>
      </c>
      <c r="C50" t="s">
        <v>22</v>
      </c>
      <c r="D50" t="s">
        <v>130</v>
      </c>
    </row>
    <row r="51" spans="1:4" x14ac:dyDescent="0.25">
      <c r="A51" s="1" t="s">
        <v>147</v>
      </c>
      <c r="B51" s="1" t="s">
        <v>157</v>
      </c>
      <c r="C51" t="s">
        <v>22</v>
      </c>
      <c r="D51" t="s">
        <v>130</v>
      </c>
    </row>
    <row r="52" spans="1:4" x14ac:dyDescent="0.25">
      <c r="A52" s="1" t="s">
        <v>148</v>
      </c>
      <c r="B52" s="1" t="s">
        <v>156</v>
      </c>
      <c r="C52" t="s">
        <v>22</v>
      </c>
      <c r="D52" t="s">
        <v>130</v>
      </c>
    </row>
    <row r="53" spans="1:4" x14ac:dyDescent="0.25">
      <c r="A53" s="1" t="s">
        <v>149</v>
      </c>
      <c r="B53" t="s">
        <v>155</v>
      </c>
      <c r="C53" t="s">
        <v>22</v>
      </c>
      <c r="D53" t="s">
        <v>130</v>
      </c>
    </row>
    <row r="54" spans="1:4" x14ac:dyDescent="0.25">
      <c r="A54" s="1" t="s">
        <v>15</v>
      </c>
      <c r="B54" t="s">
        <v>19</v>
      </c>
      <c r="C54" t="s">
        <v>22</v>
      </c>
      <c r="D54" t="s">
        <v>130</v>
      </c>
    </row>
    <row r="55" spans="1:4" x14ac:dyDescent="0.25">
      <c r="A55" s="1" t="s">
        <v>150</v>
      </c>
      <c r="B55" t="s">
        <v>154</v>
      </c>
      <c r="C55" t="s">
        <v>22</v>
      </c>
      <c r="D55" t="s">
        <v>130</v>
      </c>
    </row>
    <row r="56" spans="1:4" x14ac:dyDescent="0.25">
      <c r="A56" s="1" t="s">
        <v>173</v>
      </c>
      <c r="B56" t="s">
        <v>187</v>
      </c>
      <c r="C56" t="s">
        <v>42</v>
      </c>
      <c r="D56" t="s">
        <v>130</v>
      </c>
    </row>
    <row r="57" spans="1:4" x14ac:dyDescent="0.25">
      <c r="A57" s="1" t="s">
        <v>170</v>
      </c>
      <c r="B57" t="s">
        <v>188</v>
      </c>
      <c r="C57" t="s">
        <v>42</v>
      </c>
      <c r="D57" t="s">
        <v>130</v>
      </c>
    </row>
    <row r="58" spans="1:4" x14ac:dyDescent="0.25">
      <c r="A58" s="1" t="s">
        <v>171</v>
      </c>
      <c r="B58" t="s">
        <v>34</v>
      </c>
      <c r="C58" t="s">
        <v>42</v>
      </c>
      <c r="D58" t="s">
        <v>130</v>
      </c>
    </row>
    <row r="59" spans="1:4" x14ac:dyDescent="0.25">
      <c r="A59" s="1" t="s">
        <v>172</v>
      </c>
      <c r="B59" t="s">
        <v>184</v>
      </c>
      <c r="C59" t="s">
        <v>42</v>
      </c>
      <c r="D59" t="s">
        <v>130</v>
      </c>
    </row>
    <row r="60" spans="1:4" x14ac:dyDescent="0.25">
      <c r="A60" s="1" t="s">
        <v>174</v>
      </c>
      <c r="B60" t="s">
        <v>185</v>
      </c>
      <c r="C60" t="s">
        <v>42</v>
      </c>
      <c r="D60" t="s">
        <v>130</v>
      </c>
    </row>
    <row r="61" spans="1:4" x14ac:dyDescent="0.25">
      <c r="A61" s="1" t="s">
        <v>175</v>
      </c>
      <c r="B61" t="s">
        <v>186</v>
      </c>
      <c r="C61" t="s">
        <v>42</v>
      </c>
      <c r="D61" t="s">
        <v>130</v>
      </c>
    </row>
    <row r="62" spans="1:4" x14ac:dyDescent="0.25">
      <c r="A62" s="1" t="s">
        <v>176</v>
      </c>
      <c r="B62" t="s">
        <v>35</v>
      </c>
      <c r="C62" t="s">
        <v>42</v>
      </c>
      <c r="D62" t="s">
        <v>130</v>
      </c>
    </row>
    <row r="63" spans="1:4" x14ac:dyDescent="0.25">
      <c r="A63" s="1" t="s">
        <v>177</v>
      </c>
      <c r="B63" t="s">
        <v>181</v>
      </c>
      <c r="C63" t="s">
        <v>42</v>
      </c>
      <c r="D63" t="s">
        <v>130</v>
      </c>
    </row>
    <row r="64" spans="1:4" x14ac:dyDescent="0.25">
      <c r="A64" s="1" t="s">
        <v>178</v>
      </c>
      <c r="B64" t="s">
        <v>182</v>
      </c>
      <c r="C64" t="s">
        <v>42</v>
      </c>
      <c r="D64" t="s">
        <v>130</v>
      </c>
    </row>
    <row r="65" spans="1:4" x14ac:dyDescent="0.25">
      <c r="A65" s="1" t="s">
        <v>179</v>
      </c>
      <c r="B65" t="s">
        <v>183</v>
      </c>
      <c r="C65" t="s">
        <v>42</v>
      </c>
      <c r="D65" t="s">
        <v>130</v>
      </c>
    </row>
    <row r="66" spans="1:4" x14ac:dyDescent="0.25">
      <c r="A66" s="1" t="s">
        <v>180</v>
      </c>
      <c r="B66" t="s">
        <v>36</v>
      </c>
      <c r="C66" t="s">
        <v>42</v>
      </c>
      <c r="D66" t="s">
        <v>130</v>
      </c>
    </row>
    <row r="67" spans="1:4" x14ac:dyDescent="0.25">
      <c r="A67" s="1" t="s">
        <v>26</v>
      </c>
      <c r="B67" t="str">
        <f>_xlfn.CONCAT(A67,"1 Curncy")</f>
        <v>AUD1 Curncy</v>
      </c>
      <c r="C67" t="s">
        <v>33</v>
      </c>
      <c r="D67" t="s">
        <v>130</v>
      </c>
    </row>
    <row r="68" spans="1:4" x14ac:dyDescent="0.25">
      <c r="A68" s="1" t="s">
        <v>189</v>
      </c>
      <c r="B68" t="str">
        <f t="shared" ref="B68:C85" si="0">_xlfn.CONCAT(A68,"1 Curncy")</f>
        <v>CAD1 Curncy</v>
      </c>
      <c r="C68" t="s">
        <v>33</v>
      </c>
      <c r="D68" t="s">
        <v>130</v>
      </c>
    </row>
    <row r="69" spans="1:4" x14ac:dyDescent="0.25">
      <c r="A69" s="1" t="s">
        <v>27</v>
      </c>
      <c r="B69" t="str">
        <f t="shared" si="0"/>
        <v>CHF1 Curncy</v>
      </c>
      <c r="C69" t="s">
        <v>33</v>
      </c>
      <c r="D69" t="s">
        <v>130</v>
      </c>
    </row>
    <row r="70" spans="1:4" x14ac:dyDescent="0.25">
      <c r="A70" s="1" t="s">
        <v>23</v>
      </c>
      <c r="B70" t="str">
        <f t="shared" si="0"/>
        <v>EUR1 Curncy</v>
      </c>
      <c r="C70" t="s">
        <v>33</v>
      </c>
      <c r="D70" t="s">
        <v>130</v>
      </c>
    </row>
    <row r="71" spans="1:4" x14ac:dyDescent="0.25">
      <c r="A71" s="1" t="s">
        <v>25</v>
      </c>
      <c r="B71" t="str">
        <f t="shared" si="0"/>
        <v>GBP1 Curncy</v>
      </c>
      <c r="C71" t="s">
        <v>33</v>
      </c>
      <c r="D71" t="s">
        <v>130</v>
      </c>
    </row>
    <row r="72" spans="1:4" x14ac:dyDescent="0.25">
      <c r="A72" s="1" t="s">
        <v>24</v>
      </c>
      <c r="B72" t="str">
        <f t="shared" si="0"/>
        <v>JPY1 Curncy</v>
      </c>
      <c r="C72" t="s">
        <v>33</v>
      </c>
      <c r="D72" t="s">
        <v>130</v>
      </c>
    </row>
    <row r="73" spans="1:4" x14ac:dyDescent="0.25">
      <c r="A73" s="1" t="s">
        <v>190</v>
      </c>
      <c r="B73" t="str">
        <f t="shared" si="0"/>
        <v>NOK1 Curncy</v>
      </c>
      <c r="C73" t="s">
        <v>33</v>
      </c>
      <c r="D73" t="s">
        <v>130</v>
      </c>
    </row>
    <row r="74" spans="1:4" x14ac:dyDescent="0.25">
      <c r="A74" s="1" t="s">
        <v>191</v>
      </c>
      <c r="B74" t="str">
        <f t="shared" si="0"/>
        <v>NZD1 Curncy</v>
      </c>
      <c r="C74" t="s">
        <v>33</v>
      </c>
      <c r="D74" t="s">
        <v>130</v>
      </c>
    </row>
    <row r="75" spans="1:4" x14ac:dyDescent="0.25">
      <c r="A75" s="1" t="s">
        <v>192</v>
      </c>
      <c r="B75" t="s">
        <v>203</v>
      </c>
      <c r="C75" t="s">
        <v>33</v>
      </c>
      <c r="D75" t="s">
        <v>130</v>
      </c>
    </row>
    <row r="76" spans="1:4" x14ac:dyDescent="0.25">
      <c r="A76" s="1" t="s">
        <v>193</v>
      </c>
      <c r="B76" t="str">
        <f t="shared" si="0"/>
        <v>BRL1 Curncy</v>
      </c>
      <c r="C76" t="s">
        <v>33</v>
      </c>
      <c r="D76" t="s">
        <v>130</v>
      </c>
    </row>
    <row r="77" spans="1:4" x14ac:dyDescent="0.25">
      <c r="A77" s="1" t="s">
        <v>194</v>
      </c>
      <c r="B77" t="s">
        <v>203</v>
      </c>
      <c r="C77" t="s">
        <v>33</v>
      </c>
      <c r="D77" t="s">
        <v>130</v>
      </c>
    </row>
    <row r="78" spans="1:4" x14ac:dyDescent="0.25">
      <c r="A78" s="1" t="s">
        <v>195</v>
      </c>
      <c r="B78" t="str">
        <f t="shared" si="0"/>
        <v>CZK1 Curncy</v>
      </c>
      <c r="C78" t="s">
        <v>33</v>
      </c>
      <c r="D78" t="s">
        <v>130</v>
      </c>
    </row>
    <row r="79" spans="1:4" x14ac:dyDescent="0.25">
      <c r="A79" s="1" t="s">
        <v>196</v>
      </c>
      <c r="B79" t="str">
        <f t="shared" si="0"/>
        <v>HUF1 Curncy</v>
      </c>
      <c r="C79" t="s">
        <v>33</v>
      </c>
      <c r="D79" t="s">
        <v>130</v>
      </c>
    </row>
    <row r="80" spans="1:4" x14ac:dyDescent="0.25">
      <c r="A80" s="1" t="s">
        <v>197</v>
      </c>
      <c r="B80" t="str">
        <f t="shared" si="0"/>
        <v>KRW1 Curncy</v>
      </c>
      <c r="C80" t="s">
        <v>33</v>
      </c>
      <c r="D80" t="s">
        <v>130</v>
      </c>
    </row>
    <row r="81" spans="1:4" x14ac:dyDescent="0.25">
      <c r="A81" s="1" t="s">
        <v>198</v>
      </c>
      <c r="B81" t="str">
        <f t="shared" si="0"/>
        <v>MXN1 Curncy</v>
      </c>
      <c r="C81" t="s">
        <v>33</v>
      </c>
      <c r="D81" t="s">
        <v>130</v>
      </c>
    </row>
    <row r="82" spans="1:4" x14ac:dyDescent="0.25">
      <c r="A82" s="1" t="s">
        <v>199</v>
      </c>
      <c r="B82" t="str">
        <f t="shared" si="0"/>
        <v>PLN1 Curncy</v>
      </c>
      <c r="C82" t="s">
        <v>33</v>
      </c>
      <c r="D82" t="s">
        <v>130</v>
      </c>
    </row>
    <row r="83" spans="1:4" x14ac:dyDescent="0.25">
      <c r="A83" s="1" t="s">
        <v>200</v>
      </c>
      <c r="B83" t="str">
        <f t="shared" si="0"/>
        <v>RUB1 Curncy</v>
      </c>
      <c r="C83" t="s">
        <v>33</v>
      </c>
      <c r="D83" t="s">
        <v>130</v>
      </c>
    </row>
    <row r="84" spans="1:4" x14ac:dyDescent="0.25">
      <c r="A84" s="1" t="s">
        <v>201</v>
      </c>
      <c r="B84" t="str">
        <f t="shared" si="0"/>
        <v>TRY1 Curncy</v>
      </c>
      <c r="C84" t="s">
        <v>33</v>
      </c>
      <c r="D84" t="s">
        <v>130</v>
      </c>
    </row>
    <row r="85" spans="1:4" x14ac:dyDescent="0.25">
      <c r="A85" s="1" t="s">
        <v>202</v>
      </c>
      <c r="B85" t="str">
        <f t="shared" si="0"/>
        <v>ZAR1 Curncy</v>
      </c>
      <c r="C85" t="s">
        <v>33</v>
      </c>
      <c r="D8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TrendIndices</vt:lpstr>
      <vt:lpstr>IndexReplication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Delgado Alvarez</dc:creator>
  <cp:lastModifiedBy>Diego Delgado Alvarez</cp:lastModifiedBy>
  <dcterms:created xsi:type="dcterms:W3CDTF">2026-07-06T12:18:34Z</dcterms:created>
  <dcterms:modified xsi:type="dcterms:W3CDTF">2026-07-06T15:19:10Z</dcterms:modified>
</cp:coreProperties>
</file>